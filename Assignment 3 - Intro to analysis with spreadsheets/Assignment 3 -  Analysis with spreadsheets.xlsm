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ourahalsaadan/Downloads/"/>
    </mc:Choice>
  </mc:AlternateContent>
  <xr:revisionPtr revIDLastSave="0" documentId="13_ncr:1_{900C2894-343B-F54B-BE85-A936F39212F1}" xr6:coauthVersionLast="46" xr6:coauthVersionMax="46" xr10:uidLastSave="{00000000-0000-0000-0000-000000000000}"/>
  <bookViews>
    <workbookView xWindow="0" yWindow="500" windowWidth="28800" windowHeight="16320" xr2:uid="{00000000-000D-0000-FFFF-FFFF00000000}"/>
  </bookViews>
  <sheets>
    <sheet name="Assignment 2 - Analysis with sp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G41" i="1" s="1"/>
  <c r="M5" i="1"/>
  <c r="H24" i="1" s="1"/>
  <c r="M3" i="1"/>
  <c r="F7" i="1" s="1"/>
  <c r="M6" i="1"/>
  <c r="J7" i="1" s="1"/>
  <c r="H60" i="1" l="1"/>
  <c r="H50" i="1"/>
  <c r="H37" i="1"/>
  <c r="H16" i="1"/>
  <c r="H61" i="1"/>
  <c r="H18" i="1"/>
  <c r="H59" i="1"/>
  <c r="H48" i="1"/>
  <c r="H36" i="1"/>
  <c r="H10" i="1"/>
  <c r="H47" i="1"/>
  <c r="H34" i="1"/>
  <c r="H8" i="1"/>
  <c r="H39" i="1"/>
  <c r="H45" i="1"/>
  <c r="H9" i="1"/>
  <c r="H56" i="1"/>
  <c r="H32" i="1"/>
  <c r="H2" i="1"/>
  <c r="H55" i="1"/>
  <c r="H44" i="1"/>
  <c r="H28" i="1"/>
  <c r="H51" i="1"/>
  <c r="H53" i="1"/>
  <c r="H26" i="1"/>
  <c r="H58" i="1"/>
  <c r="H64" i="1"/>
  <c r="H42" i="1"/>
  <c r="H63" i="1"/>
  <c r="H52" i="1"/>
  <c r="H40" i="1"/>
  <c r="G61" i="1"/>
  <c r="G34" i="1"/>
  <c r="G52" i="1"/>
  <c r="G59" i="1"/>
  <c r="G50" i="1"/>
  <c r="G33" i="1"/>
  <c r="G60" i="1"/>
  <c r="G31" i="1"/>
  <c r="G57" i="1"/>
  <c r="G47" i="1"/>
  <c r="G23" i="1"/>
  <c r="G49" i="1"/>
  <c r="G64" i="1"/>
  <c r="G56" i="1"/>
  <c r="G45" i="1"/>
  <c r="G18" i="1"/>
  <c r="G39" i="1"/>
  <c r="G58" i="1"/>
  <c r="G55" i="1"/>
  <c r="G42" i="1"/>
  <c r="G24" i="1"/>
  <c r="G53" i="1"/>
  <c r="G2" i="1"/>
  <c r="G63" i="1"/>
  <c r="G62" i="1"/>
  <c r="G54" i="1"/>
  <c r="F61" i="1"/>
  <c r="F53" i="1"/>
  <c r="F45" i="1"/>
  <c r="F37" i="1"/>
  <c r="F29" i="1"/>
  <c r="F21" i="1"/>
  <c r="F13" i="1"/>
  <c r="F5" i="1"/>
  <c r="F22" i="1"/>
  <c r="F60" i="1"/>
  <c r="F52" i="1"/>
  <c r="F44" i="1"/>
  <c r="F36" i="1"/>
  <c r="F28" i="1"/>
  <c r="F20" i="1"/>
  <c r="F12" i="1"/>
  <c r="F4" i="1"/>
  <c r="F46" i="1"/>
  <c r="F59" i="1"/>
  <c r="F51" i="1"/>
  <c r="F43" i="1"/>
  <c r="F35" i="1"/>
  <c r="F27" i="1"/>
  <c r="F19" i="1"/>
  <c r="F11" i="1"/>
  <c r="F3" i="1"/>
  <c r="F38" i="1"/>
  <c r="F58" i="1"/>
  <c r="F50" i="1"/>
  <c r="F42" i="1"/>
  <c r="F34" i="1"/>
  <c r="F26" i="1"/>
  <c r="F18" i="1"/>
  <c r="F10" i="1"/>
  <c r="F6" i="1"/>
  <c r="F2" i="1"/>
  <c r="F57" i="1"/>
  <c r="F49" i="1"/>
  <c r="F41" i="1"/>
  <c r="F33" i="1"/>
  <c r="F25" i="1"/>
  <c r="F17" i="1"/>
  <c r="F9" i="1"/>
  <c r="F54" i="1"/>
  <c r="F14" i="1"/>
  <c r="F64" i="1"/>
  <c r="F56" i="1"/>
  <c r="F48" i="1"/>
  <c r="F40" i="1"/>
  <c r="F32" i="1"/>
  <c r="F24" i="1"/>
  <c r="F16" i="1"/>
  <c r="F8" i="1"/>
  <c r="F62" i="1"/>
  <c r="F30" i="1"/>
  <c r="F63" i="1"/>
  <c r="F55" i="1"/>
  <c r="F47" i="1"/>
  <c r="F39" i="1"/>
  <c r="F31" i="1"/>
  <c r="F23" i="1"/>
  <c r="F15" i="1"/>
  <c r="G48" i="1"/>
  <c r="G40" i="1"/>
  <c r="G32" i="1"/>
  <c r="G16" i="1"/>
  <c r="G7" i="1"/>
  <c r="G6" i="1"/>
  <c r="G46" i="1"/>
  <c r="G38" i="1"/>
  <c r="G29" i="1"/>
  <c r="G4" i="1"/>
  <c r="G37" i="1"/>
  <c r="G28" i="1"/>
  <c r="G5" i="1"/>
  <c r="G44" i="1"/>
  <c r="G36" i="1"/>
  <c r="G26" i="1"/>
  <c r="G51" i="1"/>
  <c r="G43" i="1"/>
  <c r="G35" i="1"/>
  <c r="J61" i="1"/>
  <c r="J53" i="1"/>
  <c r="J45" i="1"/>
  <c r="J37" i="1"/>
  <c r="J29" i="1"/>
  <c r="J21" i="1"/>
  <c r="J13" i="1"/>
  <c r="J5" i="1"/>
  <c r="J30" i="1"/>
  <c r="J60" i="1"/>
  <c r="J52" i="1"/>
  <c r="J44" i="1"/>
  <c r="J36" i="1"/>
  <c r="J28" i="1"/>
  <c r="J20" i="1"/>
  <c r="J12" i="1"/>
  <c r="J4" i="1"/>
  <c r="J54" i="1"/>
  <c r="J46" i="1"/>
  <c r="J59" i="1"/>
  <c r="J51" i="1"/>
  <c r="J43" i="1"/>
  <c r="J35" i="1"/>
  <c r="J27" i="1"/>
  <c r="J19" i="1"/>
  <c r="J11" i="1"/>
  <c r="J3" i="1"/>
  <c r="J22" i="1"/>
  <c r="J2" i="1"/>
  <c r="J58" i="1"/>
  <c r="J50" i="1"/>
  <c r="J42" i="1"/>
  <c r="J34" i="1"/>
  <c r="J26" i="1"/>
  <c r="J18" i="1"/>
  <c r="J10" i="1"/>
  <c r="J6" i="1"/>
  <c r="J57" i="1"/>
  <c r="J49" i="1"/>
  <c r="J41" i="1"/>
  <c r="J33" i="1"/>
  <c r="J25" i="1"/>
  <c r="J17" i="1"/>
  <c r="J9" i="1"/>
  <c r="J62" i="1"/>
  <c r="J38" i="1"/>
  <c r="J64" i="1"/>
  <c r="J56" i="1"/>
  <c r="J48" i="1"/>
  <c r="J40" i="1"/>
  <c r="J32" i="1"/>
  <c r="J24" i="1"/>
  <c r="J16" i="1"/>
  <c r="J8" i="1"/>
  <c r="J14" i="1"/>
  <c r="J63" i="1"/>
  <c r="J55" i="1"/>
  <c r="J47" i="1"/>
  <c r="J39" i="1"/>
  <c r="J31" i="1"/>
  <c r="J23" i="1"/>
  <c r="J15" i="1"/>
  <c r="G15" i="1"/>
  <c r="G30" i="1"/>
  <c r="G22" i="1"/>
  <c r="G14" i="1"/>
  <c r="G21" i="1"/>
  <c r="G13" i="1"/>
  <c r="G20" i="1"/>
  <c r="G12" i="1"/>
  <c r="G27" i="1"/>
  <c r="G19" i="1"/>
  <c r="G11" i="1"/>
  <c r="G25" i="1"/>
  <c r="G17" i="1"/>
  <c r="H31" i="1"/>
  <c r="H23" i="1"/>
  <c r="H15" i="1"/>
  <c r="H7" i="1"/>
  <c r="H62" i="1"/>
  <c r="H54" i="1"/>
  <c r="H46" i="1"/>
  <c r="H38" i="1"/>
  <c r="H30" i="1"/>
  <c r="H22" i="1"/>
  <c r="H14" i="1"/>
  <c r="H6" i="1"/>
  <c r="H29" i="1"/>
  <c r="H21" i="1"/>
  <c r="H13" i="1"/>
  <c r="H5" i="1"/>
  <c r="H20" i="1"/>
  <c r="H12" i="1"/>
  <c r="H4" i="1"/>
  <c r="H43" i="1"/>
  <c r="H35" i="1"/>
  <c r="H27" i="1"/>
  <c r="H19" i="1"/>
  <c r="H11" i="1"/>
  <c r="H3" i="1"/>
  <c r="H57" i="1"/>
  <c r="H49" i="1"/>
  <c r="H41" i="1"/>
  <c r="H33" i="1"/>
  <c r="H25" i="1"/>
  <c r="H17" i="1"/>
  <c r="G3" i="1"/>
  <c r="G10" i="1"/>
  <c r="G9" i="1"/>
  <c r="G8" i="1"/>
  <c r="I7" i="1" l="1"/>
  <c r="I44" i="1"/>
  <c r="I34" i="1"/>
  <c r="I36" i="1"/>
  <c r="I23" i="1"/>
  <c r="I18" i="1"/>
  <c r="I2" i="1"/>
  <c r="I42" i="1"/>
  <c r="I55" i="1"/>
  <c r="I63" i="1"/>
  <c r="I25" i="1"/>
  <c r="I46" i="1"/>
  <c r="I33" i="1"/>
  <c r="I24" i="1"/>
  <c r="I14" i="1"/>
  <c r="I35" i="1"/>
  <c r="I41" i="1"/>
  <c r="I43" i="1"/>
  <c r="I37" i="1"/>
  <c r="I47" i="1"/>
  <c r="I31" i="1"/>
  <c r="I11" i="1"/>
  <c r="I22" i="1"/>
  <c r="I8" i="1"/>
  <c r="I4" i="1"/>
  <c r="I54" i="1"/>
  <c r="I39" i="1"/>
  <c r="I62" i="1"/>
  <c r="I6" i="1"/>
  <c r="I57" i="1"/>
  <c r="I58" i="1"/>
  <c r="I19" i="1"/>
  <c r="I28" i="1"/>
  <c r="I9" i="1"/>
  <c r="I3" i="1"/>
  <c r="I38" i="1"/>
  <c r="I59" i="1"/>
  <c r="I52" i="1"/>
  <c r="I45" i="1"/>
  <c r="I50" i="1"/>
  <c r="I10" i="1"/>
  <c r="I32" i="1"/>
  <c r="I51" i="1"/>
  <c r="I40" i="1"/>
  <c r="I48" i="1"/>
  <c r="I60" i="1"/>
  <c r="I53" i="1"/>
  <c r="I61" i="1"/>
  <c r="I56" i="1"/>
  <c r="I12" i="1"/>
  <c r="I15" i="1"/>
  <c r="I64" i="1"/>
  <c r="I30" i="1"/>
  <c r="I49" i="1"/>
  <c r="I5" i="1"/>
  <c r="I16" i="1"/>
  <c r="I20" i="1"/>
  <c r="I26" i="1"/>
  <c r="I17" i="1"/>
  <c r="I29" i="1"/>
  <c r="I27" i="1"/>
  <c r="I13" i="1"/>
  <c r="I21" i="1"/>
</calcChain>
</file>

<file path=xl/sharedStrings.xml><?xml version="1.0" encoding="utf-8"?>
<sst xmlns="http://schemas.openxmlformats.org/spreadsheetml/2006/main" count="15" uniqueCount="15">
  <si>
    <t>Date</t>
  </si>
  <si>
    <t>Open Price VTI</t>
  </si>
  <si>
    <t xml:space="preserve">Portfolio </t>
  </si>
  <si>
    <t xml:space="preserve">Investment In VTI </t>
  </si>
  <si>
    <t>Stocks</t>
  </si>
  <si>
    <t>VTI</t>
  </si>
  <si>
    <t>FB</t>
  </si>
  <si>
    <t>Open Price NVDA</t>
  </si>
  <si>
    <t>Open Price APPL</t>
  </si>
  <si>
    <t>Open Price FB</t>
  </si>
  <si>
    <t>APPL</t>
  </si>
  <si>
    <t>NVDA</t>
  </si>
  <si>
    <t>Investment in APPL</t>
  </si>
  <si>
    <t>Investment in NVDA</t>
  </si>
  <si>
    <t xml:space="preserve">Investment in FB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</si>
</sst>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USD]\ #,##0.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33" borderId="0" xfId="0" applyFont="1" applyFill="1" applyAlignment="1">
      <alignment horizontal="center"/>
    </xf>
    <xf numFmtId="14" fontId="16" fillId="33" borderId="0" xfId="0" applyNumberFormat="1" applyFont="1" applyFill="1" applyAlignment="1">
      <alignment horizontal="center"/>
    </xf>
    <xf numFmtId="164" fontId="0" fillId="0" borderId="0" xfId="0" applyNumberFormat="1"/>
    <xf numFmtId="0" fontId="16" fillId="33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 comparision</a:t>
            </a:r>
            <a:r>
              <a:rPr lang="en-US" baseline="0"/>
              <a:t> between the portfolio and the VTI over 6 years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'Assignment 2 - Analysis with sp'!$I$1</c:f>
              <c:strCache>
                <c:ptCount val="1"/>
                <c:pt idx="0">
                  <c:v>Portfolio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'Assignment 2 - Analysis with sp'!$A$2:$A$65</c:f>
              <c:numCache>
                <c:formatCode>m/d/yy</c:formatCode>
                <c:ptCount val="64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  <c:pt idx="54">
                  <c:v>44013</c:v>
                </c:pt>
                <c:pt idx="55">
                  <c:v>44044</c:v>
                </c:pt>
                <c:pt idx="56">
                  <c:v>44075</c:v>
                </c:pt>
                <c:pt idx="57">
                  <c:v>44105</c:v>
                </c:pt>
                <c:pt idx="58">
                  <c:v>44136</c:v>
                </c:pt>
                <c:pt idx="59">
                  <c:v>44166</c:v>
                </c:pt>
                <c:pt idx="60">
                  <c:v>44197</c:v>
                </c:pt>
                <c:pt idx="61">
                  <c:v>44228</c:v>
                </c:pt>
                <c:pt idx="62">
                  <c:v>44256</c:v>
                </c:pt>
              </c:numCache>
            </c:numRef>
          </c:cat>
          <c:val>
            <c:numRef>
              <c:f>'Assignment 2 - Analysis with sp'!$I$2:$I$65</c:f>
              <c:numCache>
                <c:formatCode>[$USD]\ #,##0.00</c:formatCode>
                <c:ptCount val="64"/>
                <c:pt idx="0">
                  <c:v>1000000</c:v>
                </c:pt>
                <c:pt idx="1">
                  <c:v>994387.83216140792</c:v>
                </c:pt>
                <c:pt idx="2">
                  <c:v>1000671.4605947026</c:v>
                </c:pt>
                <c:pt idx="3">
                  <c:v>1093323.687494861</c:v>
                </c:pt>
                <c:pt idx="4">
                  <c:v>1070305.4290355786</c:v>
                </c:pt>
                <c:pt idx="5">
                  <c:v>1186460.0245898534</c:v>
                </c:pt>
                <c:pt idx="6">
                  <c:v>1161591.0660565468</c:v>
                </c:pt>
                <c:pt idx="7">
                  <c:v>1323921.712148577</c:v>
                </c:pt>
                <c:pt idx="8">
                  <c:v>1376533.8559730109</c:v>
                </c:pt>
                <c:pt idx="9">
                  <c:v>1469832.9239167841</c:v>
                </c:pt>
                <c:pt idx="10">
                  <c:v>1510857.204123273</c:v>
                </c:pt>
                <c:pt idx="11">
                  <c:v>1642833.6616984177</c:v>
                </c:pt>
                <c:pt idx="12">
                  <c:v>1763766.0084662179</c:v>
                </c:pt>
                <c:pt idx="13">
                  <c:v>1917655.2537553643</c:v>
                </c:pt>
                <c:pt idx="14">
                  <c:v>1902879.1316778427</c:v>
                </c:pt>
                <c:pt idx="15">
                  <c:v>1989257.7757363075</c:v>
                </c:pt>
                <c:pt idx="16">
                  <c:v>1992696.9445932526</c:v>
                </c:pt>
                <c:pt idx="17">
                  <c:v>2390285.1663233158</c:v>
                </c:pt>
                <c:pt idx="18">
                  <c:v>2366487.5029465482</c:v>
                </c:pt>
                <c:pt idx="19">
                  <c:v>2608527.6361938296</c:v>
                </c:pt>
                <c:pt idx="20">
                  <c:v>2737206.1376788523</c:v>
                </c:pt>
                <c:pt idx="21">
                  <c:v>2803232.9524656264</c:v>
                </c:pt>
                <c:pt idx="22">
                  <c:v>3157164.9142143549</c:v>
                </c:pt>
                <c:pt idx="23">
                  <c:v>3039283.3726110351</c:v>
                </c:pt>
                <c:pt idx="24">
                  <c:v>3013574.5884166667</c:v>
                </c:pt>
                <c:pt idx="25">
                  <c:v>3443275.2921706648</c:v>
                </c:pt>
                <c:pt idx="26">
                  <c:v>3471878.0759073002</c:v>
                </c:pt>
                <c:pt idx="27">
                  <c:v>3231548.2989086327</c:v>
                </c:pt>
                <c:pt idx="28">
                  <c:v>3247807.5961810546</c:v>
                </c:pt>
                <c:pt idx="29">
                  <c:v>3666997.0988125517</c:v>
                </c:pt>
                <c:pt idx="30">
                  <c:v>3471002.4154970078</c:v>
                </c:pt>
                <c:pt idx="31">
                  <c:v>3551352.7676621056</c:v>
                </c:pt>
                <c:pt idx="32">
                  <c:v>3951344.3606654648</c:v>
                </c:pt>
                <c:pt idx="33">
                  <c:v>3946176.6819098643</c:v>
                </c:pt>
                <c:pt idx="34">
                  <c:v>3207359.4481165591</c:v>
                </c:pt>
                <c:pt idx="35">
                  <c:v>2703955.9936658228</c:v>
                </c:pt>
                <c:pt idx="36">
                  <c:v>2172692.1952903457</c:v>
                </c:pt>
                <c:pt idx="37">
                  <c:v>2481332.3451073207</c:v>
                </c:pt>
                <c:pt idx="38">
                  <c:v>2599374.4442238887</c:v>
                </c:pt>
                <c:pt idx="39">
                  <c:v>2921408.2362761889</c:v>
                </c:pt>
                <c:pt idx="40">
                  <c:v>3079080.9173584795</c:v>
                </c:pt>
                <c:pt idx="41">
                  <c:v>2462724.2931178804</c:v>
                </c:pt>
                <c:pt idx="42">
                  <c:v>2963225.0722447904</c:v>
                </c:pt>
                <c:pt idx="43">
                  <c:v>2958648.268659764</c:v>
                </c:pt>
                <c:pt idx="44">
                  <c:v>2854540.3576012962</c:v>
                </c:pt>
                <c:pt idx="45">
                  <c:v>2986819.1932090144</c:v>
                </c:pt>
                <c:pt idx="46">
                  <c:v>3340667.5493288161</c:v>
                </c:pt>
                <c:pt idx="47">
                  <c:v>3585557.5205505523</c:v>
                </c:pt>
                <c:pt idx="48">
                  <c:v>3895475.3003092124</c:v>
                </c:pt>
                <c:pt idx="49">
                  <c:v>3877716.5191293773</c:v>
                </c:pt>
                <c:pt idx="50">
                  <c:v>4159197.7994525423</c:v>
                </c:pt>
                <c:pt idx="51">
                  <c:v>3729998.1814835705</c:v>
                </c:pt>
                <c:pt idx="52">
                  <c:v>4269722.3024106119</c:v>
                </c:pt>
                <c:pt idx="53">
                  <c:v>5092898.9645950235</c:v>
                </c:pt>
                <c:pt idx="54">
                  <c:v>5502232.1457703989</c:v>
                </c:pt>
                <c:pt idx="55">
                  <c:v>6245185.055355465</c:v>
                </c:pt>
                <c:pt idx="56">
                  <c:v>7718489.9049894921</c:v>
                </c:pt>
                <c:pt idx="57">
                  <c:v>7529785.0837122053</c:v>
                </c:pt>
                <c:pt idx="58">
                  <c:v>7018197.8574194191</c:v>
                </c:pt>
                <c:pt idx="59">
                  <c:v>7524618.6294241762</c:v>
                </c:pt>
                <c:pt idx="60">
                  <c:v>7509541.8474562364</c:v>
                </c:pt>
                <c:pt idx="61">
                  <c:v>7433406.038172124</c:v>
                </c:pt>
                <c:pt idx="62">
                  <c:v>7626947.5918154428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D9-7C47-90B1-7EDF7B315873}"/>
            </c:ext>
          </c:extLst>
        </c:ser>
        <c:ser>
          <c:idx val="1"/>
          <c:order val="1"/>
          <c:tx>
            <c:strRef>
              <c:f>'Assignment 2 - Analysis with sp'!$J$1</c:f>
              <c:strCache>
                <c:ptCount val="1"/>
                <c:pt idx="0">
                  <c:v>Investment In VTI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'Assignment 2 - Analysis with sp'!$A$2:$A$65</c:f>
              <c:numCache>
                <c:formatCode>m/d/yy</c:formatCode>
                <c:ptCount val="64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  <c:pt idx="54">
                  <c:v>44013</c:v>
                </c:pt>
                <c:pt idx="55">
                  <c:v>44044</c:v>
                </c:pt>
                <c:pt idx="56">
                  <c:v>44075</c:v>
                </c:pt>
                <c:pt idx="57">
                  <c:v>44105</c:v>
                </c:pt>
                <c:pt idx="58">
                  <c:v>44136</c:v>
                </c:pt>
                <c:pt idx="59">
                  <c:v>44166</c:v>
                </c:pt>
                <c:pt idx="60">
                  <c:v>44197</c:v>
                </c:pt>
                <c:pt idx="61">
                  <c:v>44228</c:v>
                </c:pt>
                <c:pt idx="62">
                  <c:v>44256</c:v>
                </c:pt>
              </c:numCache>
            </c:numRef>
          </c:cat>
          <c:val>
            <c:numRef>
              <c:f>'Assignment 2 - Analysis with sp'!$J$2:$J$65</c:f>
              <c:numCache>
                <c:formatCode>[$USD]\ #,##0.00</c:formatCode>
                <c:ptCount val="64"/>
                <c:pt idx="0">
                  <c:v>1000000.0000000001</c:v>
                </c:pt>
                <c:pt idx="1">
                  <c:v>952914.77962731966</c:v>
                </c:pt>
                <c:pt idx="2">
                  <c:v>966367.66491776844</c:v>
                </c:pt>
                <c:pt idx="3">
                  <c:v>1016767.4104744121</c:v>
                </c:pt>
                <c:pt idx="4">
                  <c:v>1031390.1436656242</c:v>
                </c:pt>
                <c:pt idx="5">
                  <c:v>1043088.3009731275</c:v>
                </c:pt>
                <c:pt idx="6">
                  <c:v>1044648.0981741452</c:v>
                </c:pt>
                <c:pt idx="7">
                  <c:v>1085981.6711643271</c:v>
                </c:pt>
                <c:pt idx="8">
                  <c:v>1089588.5632757156</c:v>
                </c:pt>
                <c:pt idx="9">
                  <c:v>1082959.5811472104</c:v>
                </c:pt>
                <c:pt idx="10">
                  <c:v>1063560.1079438468</c:v>
                </c:pt>
                <c:pt idx="11">
                  <c:v>1111620.1674474527</c:v>
                </c:pt>
                <c:pt idx="12">
                  <c:v>1132286.9929364987</c:v>
                </c:pt>
                <c:pt idx="13">
                  <c:v>1148956.8990259916</c:v>
                </c:pt>
                <c:pt idx="14">
                  <c:v>1197211.889311525</c:v>
                </c:pt>
                <c:pt idx="15">
                  <c:v>1183953.9348030039</c:v>
                </c:pt>
                <c:pt idx="16">
                  <c:v>1198381.7274637998</c:v>
                </c:pt>
                <c:pt idx="17">
                  <c:v>1210469.8340715575</c:v>
                </c:pt>
                <c:pt idx="18">
                  <c:v>1218463.5948827532</c:v>
                </c:pt>
                <c:pt idx="19">
                  <c:v>1239812.8048389005</c:v>
                </c:pt>
                <c:pt idx="20">
                  <c:v>1240300.258524074</c:v>
                </c:pt>
                <c:pt idx="21">
                  <c:v>1263794.0775239994</c:v>
                </c:pt>
                <c:pt idx="22">
                  <c:v>1294891.786022777</c:v>
                </c:pt>
                <c:pt idx="23">
                  <c:v>1328524.0431170983</c:v>
                </c:pt>
                <c:pt idx="24">
                  <c:v>1342854.3313929748</c:v>
                </c:pt>
                <c:pt idx="25">
                  <c:v>1403587.3775865205</c:v>
                </c:pt>
                <c:pt idx="26">
                  <c:v>1355722.4048406631</c:v>
                </c:pt>
                <c:pt idx="27">
                  <c:v>1318872.9807199656</c:v>
                </c:pt>
                <c:pt idx="28">
                  <c:v>1326184.3473155715</c:v>
                </c:pt>
                <c:pt idx="29">
                  <c:v>1373854.4575189229</c:v>
                </c:pt>
                <c:pt idx="30">
                  <c:v>1360499.0766133931</c:v>
                </c:pt>
                <c:pt idx="31">
                  <c:v>1415383.1075183642</c:v>
                </c:pt>
                <c:pt idx="32">
                  <c:v>1461200.9756053623</c:v>
                </c:pt>
                <c:pt idx="33">
                  <c:v>1466367.6649177684</c:v>
                </c:pt>
                <c:pt idx="34">
                  <c:v>1355429.8136979959</c:v>
                </c:pt>
                <c:pt idx="35">
                  <c:v>1399883.0493296348</c:v>
                </c:pt>
                <c:pt idx="36">
                  <c:v>1225872.4658632784</c:v>
                </c:pt>
                <c:pt idx="37">
                  <c:v>1352115.3665019427</c:v>
                </c:pt>
                <c:pt idx="38">
                  <c:v>1407486.8608405762</c:v>
                </c:pt>
                <c:pt idx="39">
                  <c:v>1420939.6778916034</c:v>
                </c:pt>
                <c:pt idx="40">
                  <c:v>1470072.1394019863</c:v>
                </c:pt>
                <c:pt idx="41">
                  <c:v>1371514.9079447279</c:v>
                </c:pt>
                <c:pt idx="42">
                  <c:v>1480308.081881301</c:v>
                </c:pt>
                <c:pt idx="43">
                  <c:v>1484597.2902203691</c:v>
                </c:pt>
                <c:pt idx="44">
                  <c:v>1442678.9053874265</c:v>
                </c:pt>
                <c:pt idx="45">
                  <c:v>1476896.0523124188</c:v>
                </c:pt>
                <c:pt idx="46">
                  <c:v>1511015.7630919137</c:v>
                </c:pt>
                <c:pt idx="47">
                  <c:v>1562292.7654066533</c:v>
                </c:pt>
                <c:pt idx="48">
                  <c:v>1605381.0663797806</c:v>
                </c:pt>
                <c:pt idx="49">
                  <c:v>1602164.1918080684</c:v>
                </c:pt>
                <c:pt idx="50">
                  <c:v>1476018.7273149011</c:v>
                </c:pt>
                <c:pt idx="51">
                  <c:v>1210079.8847713028</c:v>
                </c:pt>
                <c:pt idx="52">
                  <c:v>1395203.6674750699</c:v>
                </c:pt>
                <c:pt idx="53">
                  <c:v>1497562.7998135544</c:v>
                </c:pt>
                <c:pt idx="54">
                  <c:v>1529537.8333098495</c:v>
                </c:pt>
                <c:pt idx="55">
                  <c:v>1622830.939309204</c:v>
                </c:pt>
                <c:pt idx="56">
                  <c:v>1732208.993327959</c:v>
                </c:pt>
                <c:pt idx="57">
                  <c:v>1674010.5054784461</c:v>
                </c:pt>
                <c:pt idx="58">
                  <c:v>1645447.3553237016</c:v>
                </c:pt>
                <c:pt idx="59">
                  <c:v>1844121.6056907468</c:v>
                </c:pt>
                <c:pt idx="60">
                  <c:v>1904757.215738795</c:v>
                </c:pt>
                <c:pt idx="61">
                  <c:v>1909534.0337388571</c:v>
                </c:pt>
                <c:pt idx="62">
                  <c:v>1980405.440038888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D9-7C47-90B1-7EDF7B315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0040496"/>
        <c:axId val="1680023440"/>
      </c:lineChart>
      <c:dateAx>
        <c:axId val="16800404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A"/>
          </a:p>
        </c:txPr>
        <c:crossAx val="1680023440"/>
        <c:crosses val="autoZero"/>
        <c:auto val="1"/>
        <c:lblOffset val="100"/>
        <c:baseTimeUnit val="months"/>
      </c:dateAx>
      <c:valAx>
        <c:axId val="16800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USD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A"/>
          </a:p>
        </c:txPr>
        <c:crossAx val="168004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806450</xdr:colOff>
      <xdr:row>8</xdr:row>
      <xdr:rowOff>190500</xdr:rowOff>
    </xdr:from>
    <xdr:to>
      <xdr:col>21</xdr:col>
      <xdr:colOff>12700</xdr:colOff>
      <xdr:row>33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13176C8-46FF-5642-AEE6-D4FA2EA635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304800</xdr:colOff>
      <xdr:row>1</xdr:row>
      <xdr:rowOff>152400</xdr:rowOff>
    </xdr:from>
    <xdr:to>
      <xdr:col>20</xdr:col>
      <xdr:colOff>647700</xdr:colOff>
      <xdr:row>5</xdr:row>
      <xdr:rowOff>101600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5ACD6C4-F19F-9048-B63E-971A78C74C2B}"/>
            </a:ext>
          </a:extLst>
        </xdr:cNvPr>
        <xdr:cNvSpPr/>
      </xdr:nvSpPr>
      <xdr:spPr>
        <a:xfrm>
          <a:off x="14947900" y="355600"/>
          <a:ext cx="6121400" cy="762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bg1"/>
              </a:solidFill>
            </a:rPr>
            <a:t>So I choose to Invest in </a:t>
          </a:r>
          <a:r>
            <a:rPr lang="en-US" sz="1100" b="1">
              <a:solidFill>
                <a:schemeClr val="bg1"/>
              </a:solidFill>
            </a:rPr>
            <a:t>Apple</a:t>
          </a:r>
          <a:r>
            <a:rPr lang="en-US" sz="1100">
              <a:solidFill>
                <a:schemeClr val="bg1"/>
              </a:solidFill>
            </a:rPr>
            <a:t> with 30%, NVIDIA with 30%, and </a:t>
          </a:r>
          <a:r>
            <a:rPr lang="en-US" sz="1100" b="1">
              <a:solidFill>
                <a:schemeClr val="bg1"/>
              </a:solidFill>
            </a:rPr>
            <a:t>Facebook</a:t>
          </a:r>
          <a:r>
            <a:rPr lang="en-US" sz="1100">
              <a:solidFill>
                <a:schemeClr val="bg1"/>
              </a:solidFill>
            </a:rPr>
            <a:t> with 40%. As shown in the line chart below the portfolio was slightly above the VTI at the beginning of 2016 near 1,000,000$ and in Mar 2021 the change of the protfolio is obvious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64"/>
  <sheetViews>
    <sheetView tabSelected="1" zoomScale="101" zoomScaleNormal="100" workbookViewId="0">
      <selection activeCell="K6" sqref="K6"/>
    </sheetView>
  </sheetViews>
  <sheetFormatPr baseColWidth="10" defaultRowHeight="16" x14ac:dyDescent="0.2"/>
  <cols>
    <col min="1" max="1" width="11.6640625" bestFit="1" customWidth="1"/>
    <col min="2" max="2" width="14.6640625" bestFit="1" customWidth="1"/>
    <col min="3" max="3" width="15.33203125" bestFit="1" customWidth="1"/>
    <col min="4" max="4" width="12.6640625" bestFit="1" customWidth="1"/>
    <col min="5" max="5" width="13.83203125" bestFit="1" customWidth="1"/>
    <col min="6" max="6" width="18.83203125" bestFit="1" customWidth="1"/>
    <col min="7" max="7" width="17.5" bestFit="1" customWidth="1"/>
    <col min="8" max="8" width="18.1640625" bestFit="1" customWidth="1"/>
    <col min="9" max="9" width="17.1640625" bestFit="1" customWidth="1"/>
    <col min="10" max="10" width="16.6640625" bestFit="1" customWidth="1"/>
    <col min="13" max="13" width="14" bestFit="1" customWidth="1"/>
  </cols>
  <sheetData>
    <row r="1" spans="1:13" x14ac:dyDescent="0.2">
      <c r="A1" s="1" t="s">
        <v>0</v>
      </c>
      <c r="B1" s="1" t="s">
        <v>8</v>
      </c>
      <c r="C1" s="1" t="s">
        <v>7</v>
      </c>
      <c r="D1" s="1" t="s">
        <v>9</v>
      </c>
      <c r="E1" s="1" t="s">
        <v>1</v>
      </c>
      <c r="F1" s="1" t="s">
        <v>12</v>
      </c>
      <c r="G1" s="1" t="s">
        <v>13</v>
      </c>
      <c r="H1" s="1" t="s">
        <v>14</v>
      </c>
      <c r="I1" s="1" t="s">
        <v>2</v>
      </c>
      <c r="J1" s="1" t="s">
        <v>3</v>
      </c>
    </row>
    <row r="2" spans="1:13" x14ac:dyDescent="0.2">
      <c r="A2" s="2">
        <v>42370</v>
      </c>
      <c r="B2" s="3">
        <v>25.6525</v>
      </c>
      <c r="C2" s="3">
        <v>32.290000999999997</v>
      </c>
      <c r="D2" s="3">
        <v>101.949997</v>
      </c>
      <c r="E2" s="3">
        <v>102.58000199999999</v>
      </c>
      <c r="F2" s="3">
        <f xml:space="preserve"> B2 * $M$3</f>
        <v>300000</v>
      </c>
      <c r="G2" s="3">
        <f xml:space="preserve"> C2 * $M$4</f>
        <v>300000</v>
      </c>
      <c r="H2" s="3">
        <f xml:space="preserve"> D2 * $M$5</f>
        <v>400000</v>
      </c>
      <c r="I2" s="3">
        <f xml:space="preserve"> SUM(F2+G2+H2)</f>
        <v>1000000</v>
      </c>
      <c r="J2" s="3">
        <f xml:space="preserve"> E2 * $M$6</f>
        <v>1000000.0000000001</v>
      </c>
      <c r="L2" s="4" t="s">
        <v>4</v>
      </c>
      <c r="M2" s="4"/>
    </row>
    <row r="3" spans="1:13" x14ac:dyDescent="0.2">
      <c r="A3" s="2">
        <v>42401</v>
      </c>
      <c r="B3" s="3">
        <v>24.1175</v>
      </c>
      <c r="C3" s="3">
        <v>29.26</v>
      </c>
      <c r="D3" s="3">
        <v>112.269997</v>
      </c>
      <c r="E3" s="3">
        <v>97.75</v>
      </c>
      <c r="F3" s="3">
        <f t="shared" ref="F3:F64" si="0" xml:space="preserve"> B3 * $M$3</f>
        <v>282048.53328135662</v>
      </c>
      <c r="G3" s="3">
        <f t="shared" ref="G3:G64" si="1" xml:space="preserve"> C3 * $M$4</f>
        <v>271848.86120009725</v>
      </c>
      <c r="H3" s="3">
        <f t="shared" ref="H3:H64" si="2" xml:space="preserve"> D3 * $M$5</f>
        <v>440490.43767995405</v>
      </c>
      <c r="I3" s="3">
        <f t="shared" ref="I3:I64" si="3" xml:space="preserve"> SUM(F3+G3+H3)</f>
        <v>994387.83216140792</v>
      </c>
      <c r="J3" s="3">
        <f t="shared" ref="J3:J64" si="4" xml:space="preserve"> E3 * $M$6</f>
        <v>952914.77962731966</v>
      </c>
      <c r="L3" s="1" t="s">
        <v>10</v>
      </c>
      <c r="M3" s="3">
        <f>300000/ B2</f>
        <v>11694.766591950103</v>
      </c>
    </row>
    <row r="4" spans="1:13" x14ac:dyDescent="0.2">
      <c r="A4" s="2">
        <v>42430</v>
      </c>
      <c r="B4" s="3">
        <v>24.412500000000001</v>
      </c>
      <c r="C4" s="3">
        <v>31.440000999999999</v>
      </c>
      <c r="D4" s="3">
        <v>107.83000199999999</v>
      </c>
      <c r="E4" s="3">
        <v>99.129997000000003</v>
      </c>
      <c r="F4" s="3">
        <f t="shared" si="0"/>
        <v>285498.48942598194</v>
      </c>
      <c r="G4" s="3">
        <f t="shared" si="1"/>
        <v>292102.81845454266</v>
      </c>
      <c r="H4" s="3">
        <f t="shared" si="2"/>
        <v>423070.15271417808</v>
      </c>
      <c r="I4" s="3">
        <f t="shared" si="3"/>
        <v>1000671.4605947026</v>
      </c>
      <c r="J4" s="3">
        <f t="shared" si="4"/>
        <v>966367.66491776844</v>
      </c>
      <c r="L4" s="1" t="s">
        <v>11</v>
      </c>
      <c r="M4" s="3">
        <f>300000/ C2</f>
        <v>9290.8018181851421</v>
      </c>
    </row>
    <row r="5" spans="1:13" x14ac:dyDescent="0.2">
      <c r="A5" s="2">
        <v>42461</v>
      </c>
      <c r="B5" s="3">
        <v>27.195</v>
      </c>
      <c r="C5" s="3">
        <v>35.409999999999997</v>
      </c>
      <c r="D5" s="3">
        <v>113.75</v>
      </c>
      <c r="E5" s="3">
        <v>104.300003</v>
      </c>
      <c r="F5" s="3">
        <f t="shared" si="0"/>
        <v>318039.17746808304</v>
      </c>
      <c r="G5" s="3">
        <f t="shared" si="1"/>
        <v>328987.29238193587</v>
      </c>
      <c r="H5" s="3">
        <f t="shared" si="2"/>
        <v>446297.21764484211</v>
      </c>
      <c r="I5" s="3">
        <f t="shared" si="3"/>
        <v>1093323.687494861</v>
      </c>
      <c r="J5" s="3">
        <f t="shared" si="4"/>
        <v>1016767.4104744121</v>
      </c>
      <c r="L5" s="1" t="s">
        <v>6</v>
      </c>
      <c r="M5" s="3">
        <f xml:space="preserve"> 400000 / D2</f>
        <v>3923.4920232513591</v>
      </c>
    </row>
    <row r="6" spans="1:13" x14ac:dyDescent="0.2">
      <c r="A6" s="2">
        <v>42491</v>
      </c>
      <c r="B6" s="3">
        <v>23.4925</v>
      </c>
      <c r="C6" s="3">
        <v>35.869999</v>
      </c>
      <c r="D6" s="3">
        <v>117.83000199999999</v>
      </c>
      <c r="E6" s="3">
        <v>105.800003</v>
      </c>
      <c r="F6" s="3">
        <f t="shared" si="0"/>
        <v>274739.30416138779</v>
      </c>
      <c r="G6" s="3">
        <f t="shared" si="1"/>
        <v>333261.05192749924</v>
      </c>
      <c r="H6" s="3">
        <f t="shared" si="2"/>
        <v>462305.07294669165</v>
      </c>
      <c r="I6" s="3">
        <f t="shared" si="3"/>
        <v>1070305.4290355786</v>
      </c>
      <c r="J6" s="3">
        <f t="shared" si="4"/>
        <v>1031390.1436656242</v>
      </c>
      <c r="L6" s="1" t="s">
        <v>5</v>
      </c>
      <c r="M6" s="3">
        <f xml:space="preserve"> 1000000 / E2</f>
        <v>9748.4887941413781</v>
      </c>
    </row>
    <row r="7" spans="1:13" x14ac:dyDescent="0.2">
      <c r="A7" s="2">
        <v>42522</v>
      </c>
      <c r="B7" s="3">
        <v>24.754999000000002</v>
      </c>
      <c r="C7" s="3">
        <v>46.5</v>
      </c>
      <c r="D7" s="3">
        <v>118.5</v>
      </c>
      <c r="E7" s="3">
        <v>107</v>
      </c>
      <c r="F7" s="3">
        <f t="shared" si="0"/>
        <v>289503.93528895825</v>
      </c>
      <c r="G7" s="3">
        <f t="shared" si="1"/>
        <v>432022.28454560909</v>
      </c>
      <c r="H7" s="3">
        <f t="shared" si="2"/>
        <v>464933.80475528608</v>
      </c>
      <c r="I7" s="3">
        <f t="shared" si="3"/>
        <v>1186460.0245898534</v>
      </c>
      <c r="J7" s="3">
        <f t="shared" si="4"/>
        <v>1043088.3009731275</v>
      </c>
    </row>
    <row r="8" spans="1:13" x14ac:dyDescent="0.2">
      <c r="A8" s="2">
        <v>42552</v>
      </c>
      <c r="B8" s="3">
        <v>23.872499000000001</v>
      </c>
      <c r="C8" s="3">
        <v>46.75</v>
      </c>
      <c r="D8" s="3">
        <v>114.199997</v>
      </c>
      <c r="E8" s="3">
        <v>107.160004</v>
      </c>
      <c r="F8" s="3">
        <f t="shared" si="0"/>
        <v>279183.30377156223</v>
      </c>
      <c r="G8" s="3">
        <f t="shared" si="1"/>
        <v>434344.9850001554</v>
      </c>
      <c r="H8" s="3">
        <f t="shared" si="2"/>
        <v>448062.77728482912</v>
      </c>
      <c r="I8" s="3">
        <f t="shared" si="3"/>
        <v>1161591.0660565468</v>
      </c>
      <c r="J8" s="3">
        <f t="shared" si="4"/>
        <v>1044648.0981741452</v>
      </c>
    </row>
    <row r="9" spans="1:13" x14ac:dyDescent="0.2">
      <c r="A9" s="2">
        <v>42583</v>
      </c>
      <c r="B9" s="3">
        <v>26.102501</v>
      </c>
      <c r="C9" s="3">
        <v>57.34</v>
      </c>
      <c r="D9" s="3">
        <v>123.849998</v>
      </c>
      <c r="E9" s="3">
        <v>111.400002</v>
      </c>
      <c r="F9" s="3">
        <f t="shared" si="0"/>
        <v>305262.65666114417</v>
      </c>
      <c r="G9" s="3">
        <f t="shared" si="1"/>
        <v>532734.57625473605</v>
      </c>
      <c r="H9" s="3">
        <f t="shared" si="2"/>
        <v>485924.47923269676</v>
      </c>
      <c r="I9" s="3">
        <f t="shared" si="3"/>
        <v>1323921.712148577</v>
      </c>
      <c r="J9" s="3">
        <f t="shared" si="4"/>
        <v>1085981.6711643271</v>
      </c>
    </row>
    <row r="10" spans="1:13" x14ac:dyDescent="0.2">
      <c r="A10" s="2">
        <v>42614</v>
      </c>
      <c r="B10" s="3">
        <v>26.535</v>
      </c>
      <c r="C10" s="3">
        <v>61.389999000000003</v>
      </c>
      <c r="D10" s="3">
        <v>126.379997</v>
      </c>
      <c r="E10" s="3">
        <v>111.769997</v>
      </c>
      <c r="F10" s="3">
        <f t="shared" si="0"/>
        <v>310320.63151739602</v>
      </c>
      <c r="G10" s="3">
        <f t="shared" si="1"/>
        <v>570362.31432758411</v>
      </c>
      <c r="H10" s="3">
        <f t="shared" si="2"/>
        <v>495850.91012803069</v>
      </c>
      <c r="I10" s="3">
        <f t="shared" si="3"/>
        <v>1376533.8559730109</v>
      </c>
      <c r="J10" s="3">
        <f t="shared" si="4"/>
        <v>1089588.5632757156</v>
      </c>
    </row>
    <row r="11" spans="1:13" x14ac:dyDescent="0.2">
      <c r="A11" s="2">
        <v>42644</v>
      </c>
      <c r="B11" s="3">
        <v>28.177499999999998</v>
      </c>
      <c r="C11" s="3">
        <v>68.519997000000004</v>
      </c>
      <c r="D11" s="3">
        <v>128.38000500000001</v>
      </c>
      <c r="E11" s="3">
        <v>111.089996</v>
      </c>
      <c r="F11" s="3">
        <f t="shared" si="0"/>
        <v>329529.28564467403</v>
      </c>
      <c r="G11" s="3">
        <f t="shared" si="1"/>
        <v>636605.7127096405</v>
      </c>
      <c r="H11" s="3">
        <f t="shared" si="2"/>
        <v>503697.92556246964</v>
      </c>
      <c r="I11" s="3">
        <f t="shared" si="3"/>
        <v>1469832.9239167841</v>
      </c>
      <c r="J11" s="3">
        <f t="shared" si="4"/>
        <v>1082959.5811472104</v>
      </c>
    </row>
    <row r="12" spans="1:13" x14ac:dyDescent="0.2">
      <c r="A12" s="2">
        <v>42675</v>
      </c>
      <c r="B12" s="3">
        <v>28.364999999999998</v>
      </c>
      <c r="C12" s="3">
        <v>71.419998000000007</v>
      </c>
      <c r="D12" s="3">
        <v>131.41000399999999</v>
      </c>
      <c r="E12" s="3">
        <v>109.099998</v>
      </c>
      <c r="F12" s="3">
        <f t="shared" si="0"/>
        <v>331722.05438066466</v>
      </c>
      <c r="G12" s="3">
        <f t="shared" si="1"/>
        <v>663549.04727317928</v>
      </c>
      <c r="H12" s="3">
        <f t="shared" si="2"/>
        <v>515586.10246942914</v>
      </c>
      <c r="I12" s="3">
        <f t="shared" si="3"/>
        <v>1510857.204123273</v>
      </c>
      <c r="J12" s="3">
        <f t="shared" si="4"/>
        <v>1063560.1079438468</v>
      </c>
    </row>
    <row r="13" spans="1:13" x14ac:dyDescent="0.2">
      <c r="A13" s="2">
        <v>42705</v>
      </c>
      <c r="B13" s="3">
        <v>27.592500999999999</v>
      </c>
      <c r="C13" s="3">
        <v>92.099997999999999</v>
      </c>
      <c r="D13" s="3">
        <v>118.379997</v>
      </c>
      <c r="E13" s="3">
        <v>114.029999</v>
      </c>
      <c r="F13" s="3">
        <f t="shared" si="0"/>
        <v>322687.85888314981</v>
      </c>
      <c r="G13" s="3">
        <f t="shared" si="1"/>
        <v>855682.82887324796</v>
      </c>
      <c r="H13" s="3">
        <f t="shared" si="2"/>
        <v>464462.97394201986</v>
      </c>
      <c r="I13" s="3">
        <f t="shared" si="3"/>
        <v>1642833.6616984177</v>
      </c>
      <c r="J13" s="3">
        <f t="shared" si="4"/>
        <v>1111620.1674474527</v>
      </c>
    </row>
    <row r="14" spans="1:13" x14ac:dyDescent="0.2">
      <c r="A14" s="2">
        <v>42736</v>
      </c>
      <c r="B14" s="3">
        <v>28.950001</v>
      </c>
      <c r="C14" s="3">
        <v>104.400002</v>
      </c>
      <c r="D14" s="3">
        <v>116.029999</v>
      </c>
      <c r="E14" s="3">
        <v>116.150002</v>
      </c>
      <c r="F14" s="3">
        <f t="shared" si="0"/>
        <v>338563.50453172211</v>
      </c>
      <c r="G14" s="3">
        <f t="shared" si="1"/>
        <v>969959.7284001325</v>
      </c>
      <c r="H14" s="3">
        <f t="shared" si="2"/>
        <v>455242.77553436317</v>
      </c>
      <c r="I14" s="3">
        <f t="shared" si="3"/>
        <v>1763766.0084662179</v>
      </c>
      <c r="J14" s="3">
        <f t="shared" si="4"/>
        <v>1132286.9929364987</v>
      </c>
    </row>
    <row r="15" spans="1:13" x14ac:dyDescent="0.2">
      <c r="A15" s="2">
        <v>42767</v>
      </c>
      <c r="B15" s="3">
        <v>31.7575</v>
      </c>
      <c r="C15" s="3">
        <v>110.58000199999999</v>
      </c>
      <c r="D15" s="3">
        <v>132.25</v>
      </c>
      <c r="E15" s="3">
        <v>117.860001</v>
      </c>
      <c r="F15" s="3">
        <f t="shared" si="0"/>
        <v>371396.55004385539</v>
      </c>
      <c r="G15" s="3">
        <f t="shared" si="1"/>
        <v>1027376.8836365166</v>
      </c>
      <c r="H15" s="3">
        <f t="shared" si="2"/>
        <v>518881.82007499225</v>
      </c>
      <c r="I15" s="3">
        <f t="shared" si="3"/>
        <v>1917655.2537553643</v>
      </c>
      <c r="J15" s="3">
        <f t="shared" si="4"/>
        <v>1148956.8990259916</v>
      </c>
    </row>
    <row r="16" spans="1:13" x14ac:dyDescent="0.2">
      <c r="A16" s="2">
        <v>42795</v>
      </c>
      <c r="B16" s="3">
        <v>34.472499999999997</v>
      </c>
      <c r="C16" s="3">
        <v>103.790001</v>
      </c>
      <c r="D16" s="3">
        <v>136.470001</v>
      </c>
      <c r="E16" s="3">
        <v>122.80999799999999</v>
      </c>
      <c r="F16" s="3">
        <f t="shared" si="0"/>
        <v>403147.84134099988</v>
      </c>
      <c r="G16" s="3">
        <f t="shared" si="1"/>
        <v>964292.33000023779</v>
      </c>
      <c r="H16" s="3">
        <f t="shared" si="2"/>
        <v>535438.96033660497</v>
      </c>
      <c r="I16" s="3">
        <f t="shared" si="3"/>
        <v>1902879.1316778427</v>
      </c>
      <c r="J16" s="3">
        <f t="shared" si="4"/>
        <v>1197211.889311525</v>
      </c>
    </row>
    <row r="17" spans="1:10" x14ac:dyDescent="0.2">
      <c r="A17" s="2">
        <v>42826</v>
      </c>
      <c r="B17" s="3">
        <v>35.927501999999997</v>
      </c>
      <c r="C17" s="3">
        <v>108.949997</v>
      </c>
      <c r="D17" s="3">
        <v>141.929993</v>
      </c>
      <c r="E17" s="3">
        <v>121.449997</v>
      </c>
      <c r="F17" s="3">
        <f t="shared" si="0"/>
        <v>420163.75012182049</v>
      </c>
      <c r="G17" s="3">
        <f t="shared" si="1"/>
        <v>1012232.8302188658</v>
      </c>
      <c r="H17" s="3">
        <f t="shared" si="2"/>
        <v>556861.19539562124</v>
      </c>
      <c r="I17" s="3">
        <f t="shared" si="3"/>
        <v>1989257.7757363075</v>
      </c>
      <c r="J17" s="3">
        <f t="shared" si="4"/>
        <v>1183953.9348030039</v>
      </c>
    </row>
    <row r="18" spans="1:10" x14ac:dyDescent="0.2">
      <c r="A18" s="2">
        <v>42856</v>
      </c>
      <c r="B18" s="3">
        <v>36.275002000000001</v>
      </c>
      <c r="C18" s="3">
        <v>104.739998</v>
      </c>
      <c r="D18" s="3">
        <v>151.740005</v>
      </c>
      <c r="E18" s="3">
        <v>122.93</v>
      </c>
      <c r="F18" s="3">
        <f t="shared" si="0"/>
        <v>424227.68151252321</v>
      </c>
      <c r="G18" s="3">
        <f t="shared" si="1"/>
        <v>973118.56385510811</v>
      </c>
      <c r="H18" s="3">
        <f t="shared" si="2"/>
        <v>595350.6992256213</v>
      </c>
      <c r="I18" s="3">
        <f t="shared" si="3"/>
        <v>1992696.9445932526</v>
      </c>
      <c r="J18" s="3">
        <f t="shared" si="4"/>
        <v>1198381.7274637998</v>
      </c>
    </row>
    <row r="19" spans="1:10" x14ac:dyDescent="0.2">
      <c r="A19" s="2">
        <v>42887</v>
      </c>
      <c r="B19" s="3">
        <v>38.292499999999997</v>
      </c>
      <c r="C19" s="3">
        <v>144.990005</v>
      </c>
      <c r="D19" s="3">
        <v>151.75</v>
      </c>
      <c r="E19" s="3">
        <v>124.16999800000001</v>
      </c>
      <c r="F19" s="3">
        <f t="shared" si="0"/>
        <v>447821.84972224932</v>
      </c>
      <c r="G19" s="3">
        <f t="shared" si="1"/>
        <v>1347073.4020726727</v>
      </c>
      <c r="H19" s="3">
        <f t="shared" si="2"/>
        <v>595389.91452839377</v>
      </c>
      <c r="I19" s="3">
        <f t="shared" si="3"/>
        <v>2390285.1663233158</v>
      </c>
      <c r="J19" s="3">
        <f t="shared" si="4"/>
        <v>1210469.8340715575</v>
      </c>
    </row>
    <row r="20" spans="1:10" x14ac:dyDescent="0.2">
      <c r="A20" s="2">
        <v>42917</v>
      </c>
      <c r="B20" s="3">
        <v>36.220001000000003</v>
      </c>
      <c r="C20" s="3">
        <v>145.050003</v>
      </c>
      <c r="D20" s="3">
        <v>151.720001</v>
      </c>
      <c r="E20" s="3">
        <v>124.989998</v>
      </c>
      <c r="F20" s="3">
        <f t="shared" si="0"/>
        <v>423584.4576551994</v>
      </c>
      <c r="G20" s="3">
        <f t="shared" si="1"/>
        <v>1347630.8316001603</v>
      </c>
      <c r="H20" s="3">
        <f t="shared" si="2"/>
        <v>595272.21369118826</v>
      </c>
      <c r="I20" s="3">
        <f t="shared" si="3"/>
        <v>2366487.5029465482</v>
      </c>
      <c r="J20" s="3">
        <f t="shared" si="4"/>
        <v>1218463.5948827532</v>
      </c>
    </row>
    <row r="21" spans="1:10" x14ac:dyDescent="0.2">
      <c r="A21" s="2">
        <v>42948</v>
      </c>
      <c r="B21" s="3">
        <v>37.275002000000001</v>
      </c>
      <c r="C21" s="3">
        <v>162.13000500000001</v>
      </c>
      <c r="D21" s="3">
        <v>169.820007</v>
      </c>
      <c r="E21" s="3">
        <v>127.18</v>
      </c>
      <c r="F21" s="3">
        <f t="shared" si="0"/>
        <v>435922.4481044733</v>
      </c>
      <c r="G21" s="3">
        <f t="shared" si="1"/>
        <v>1506317.7452363663</v>
      </c>
      <c r="H21" s="3">
        <f t="shared" si="2"/>
        <v>666287.44285299</v>
      </c>
      <c r="I21" s="3">
        <f t="shared" si="3"/>
        <v>2608527.6361938296</v>
      </c>
      <c r="J21" s="3">
        <f t="shared" si="4"/>
        <v>1239812.8048389005</v>
      </c>
    </row>
    <row r="22" spans="1:10" x14ac:dyDescent="0.2">
      <c r="A22" s="2">
        <v>42979</v>
      </c>
      <c r="B22" s="3">
        <v>41.200001</v>
      </c>
      <c r="C22" s="3">
        <v>169.949997</v>
      </c>
      <c r="D22" s="3">
        <v>172.39999399999999</v>
      </c>
      <c r="E22" s="3">
        <v>127.230003</v>
      </c>
      <c r="F22" s="3">
        <f t="shared" si="0"/>
        <v>481824.39528311085</v>
      </c>
      <c r="G22" s="3">
        <f t="shared" si="1"/>
        <v>1578971.7411281595</v>
      </c>
      <c r="H22" s="3">
        <f t="shared" si="2"/>
        <v>676410.00126758218</v>
      </c>
      <c r="I22" s="3">
        <f t="shared" si="3"/>
        <v>2737206.1376788523</v>
      </c>
      <c r="J22" s="3">
        <f t="shared" si="4"/>
        <v>1240300.258524074</v>
      </c>
    </row>
    <row r="23" spans="1:10" x14ac:dyDescent="0.2">
      <c r="A23" s="2">
        <v>43009</v>
      </c>
      <c r="B23" s="3">
        <v>38.564999</v>
      </c>
      <c r="C23" s="3">
        <v>180.800003</v>
      </c>
      <c r="D23" s="3">
        <v>171.38999899999999</v>
      </c>
      <c r="E23" s="3">
        <v>129.63999899999999</v>
      </c>
      <c r="F23" s="3">
        <f t="shared" si="0"/>
        <v>451008.66192378913</v>
      </c>
      <c r="G23" s="3">
        <f t="shared" si="1"/>
        <v>1679776.9966002791</v>
      </c>
      <c r="H23" s="3">
        <f t="shared" si="2"/>
        <v>672447.29394155834</v>
      </c>
      <c r="I23" s="3">
        <f t="shared" si="3"/>
        <v>2803232.9524656264</v>
      </c>
      <c r="J23" s="3">
        <f t="shared" si="4"/>
        <v>1263794.0775239994</v>
      </c>
    </row>
    <row r="24" spans="1:10" x14ac:dyDescent="0.2">
      <c r="A24" s="2">
        <v>43040</v>
      </c>
      <c r="B24" s="3">
        <v>42.467498999999997</v>
      </c>
      <c r="C24" s="3">
        <v>209.35000600000001</v>
      </c>
      <c r="D24" s="3">
        <v>182.36000100000001</v>
      </c>
      <c r="E24" s="3">
        <v>132.83000200000001</v>
      </c>
      <c r="F24" s="3">
        <f t="shared" si="0"/>
        <v>496647.48854887439</v>
      </c>
      <c r="G24" s="3">
        <f t="shared" si="1"/>
        <v>1945029.4163818704</v>
      </c>
      <c r="H24" s="3">
        <f t="shared" si="2"/>
        <v>715488.00928360992</v>
      </c>
      <c r="I24" s="3">
        <f t="shared" si="3"/>
        <v>3157164.9142143549</v>
      </c>
      <c r="J24" s="3">
        <f t="shared" si="4"/>
        <v>1294891.786022777</v>
      </c>
    </row>
    <row r="25" spans="1:10" x14ac:dyDescent="0.2">
      <c r="A25" s="2">
        <v>43070</v>
      </c>
      <c r="B25" s="3">
        <v>42.487499</v>
      </c>
      <c r="C25" s="3">
        <v>199.30999800000001</v>
      </c>
      <c r="D25" s="3">
        <v>176.029999</v>
      </c>
      <c r="E25" s="3">
        <v>136.279999</v>
      </c>
      <c r="F25" s="3">
        <f t="shared" si="0"/>
        <v>496881.38388071343</v>
      </c>
      <c r="G25" s="3">
        <f t="shared" si="1"/>
        <v>1851749.6918008772</v>
      </c>
      <c r="H25" s="3">
        <f t="shared" si="2"/>
        <v>690652.29692944477</v>
      </c>
      <c r="I25" s="3">
        <f t="shared" si="3"/>
        <v>3039283.3726110351</v>
      </c>
      <c r="J25" s="3">
        <f t="shared" si="4"/>
        <v>1328524.0431170983</v>
      </c>
    </row>
    <row r="26" spans="1:10" x14ac:dyDescent="0.2">
      <c r="A26" s="2">
        <v>43101</v>
      </c>
      <c r="B26" s="3">
        <v>42.540000999999997</v>
      </c>
      <c r="C26" s="3">
        <v>195.779999</v>
      </c>
      <c r="D26" s="3">
        <v>177.679993</v>
      </c>
      <c r="E26" s="3">
        <v>137.75</v>
      </c>
      <c r="F26" s="3">
        <f t="shared" si="0"/>
        <v>497495.38251632394</v>
      </c>
      <c r="G26" s="3">
        <f t="shared" si="1"/>
        <v>1818953.1706734854</v>
      </c>
      <c r="H26" s="3">
        <f t="shared" si="2"/>
        <v>697126.03522685729</v>
      </c>
      <c r="I26" s="3">
        <f t="shared" si="3"/>
        <v>3013574.5884166667</v>
      </c>
      <c r="J26" s="3">
        <f t="shared" si="4"/>
        <v>1342854.3313929748</v>
      </c>
    </row>
    <row r="27" spans="1:10" x14ac:dyDescent="0.2">
      <c r="A27" s="2">
        <v>43132</v>
      </c>
      <c r="B27" s="3">
        <v>41.792499999999997</v>
      </c>
      <c r="C27" s="3">
        <v>238.520004</v>
      </c>
      <c r="D27" s="3">
        <v>188.220001</v>
      </c>
      <c r="E27" s="3">
        <v>143.979996</v>
      </c>
      <c r="F27" s="3">
        <f t="shared" si="0"/>
        <v>488753.53279407468</v>
      </c>
      <c r="G27" s="3">
        <f t="shared" si="1"/>
        <v>2216042.0868367273</v>
      </c>
      <c r="H27" s="3">
        <f t="shared" si="2"/>
        <v>738479.6725398628</v>
      </c>
      <c r="I27" s="3">
        <f t="shared" si="3"/>
        <v>3443275.2921706648</v>
      </c>
      <c r="J27" s="3">
        <f t="shared" si="4"/>
        <v>1403587.3775865205</v>
      </c>
    </row>
    <row r="28" spans="1:10" x14ac:dyDescent="0.2">
      <c r="A28" s="2">
        <v>43160</v>
      </c>
      <c r="B28" s="3">
        <v>44.634998000000003</v>
      </c>
      <c r="C28" s="3">
        <v>241.91000399999999</v>
      </c>
      <c r="D28" s="3">
        <v>179.009995</v>
      </c>
      <c r="E28" s="3">
        <v>139.070007</v>
      </c>
      <c r="F28" s="3">
        <f t="shared" si="0"/>
        <v>521995.88344215968</v>
      </c>
      <c r="G28" s="3">
        <f t="shared" si="1"/>
        <v>2247537.9050003747</v>
      </c>
      <c r="H28" s="3">
        <f t="shared" si="2"/>
        <v>702344.28746476572</v>
      </c>
      <c r="I28" s="3">
        <f t="shared" si="3"/>
        <v>3471878.0759073002</v>
      </c>
      <c r="J28" s="3">
        <f t="shared" si="4"/>
        <v>1355722.4048406631</v>
      </c>
    </row>
    <row r="29" spans="1:10" x14ac:dyDescent="0.2">
      <c r="A29" s="2">
        <v>43191</v>
      </c>
      <c r="B29" s="3">
        <v>41.66</v>
      </c>
      <c r="C29" s="3">
        <v>228.740005</v>
      </c>
      <c r="D29" s="3">
        <v>157.80999800000001</v>
      </c>
      <c r="E29" s="3">
        <v>135.28999300000001</v>
      </c>
      <c r="F29" s="3">
        <f t="shared" si="0"/>
        <v>487203.97622064129</v>
      </c>
      <c r="G29" s="3">
        <f t="shared" si="1"/>
        <v>2125178.0543456785</v>
      </c>
      <c r="H29" s="3">
        <f t="shared" si="2"/>
        <v>619166.26834231301</v>
      </c>
      <c r="I29" s="3">
        <f t="shared" si="3"/>
        <v>3231548.2989086327</v>
      </c>
      <c r="J29" s="3">
        <f t="shared" si="4"/>
        <v>1318872.9807199656</v>
      </c>
    </row>
    <row r="30" spans="1:10" x14ac:dyDescent="0.2">
      <c r="A30" s="2">
        <v>43221</v>
      </c>
      <c r="B30" s="3">
        <v>41.602500999999997</v>
      </c>
      <c r="C30" s="3">
        <v>224.570007</v>
      </c>
      <c r="D30" s="3">
        <v>172</v>
      </c>
      <c r="E30" s="3">
        <v>136.03999300000001</v>
      </c>
      <c r="F30" s="3">
        <f t="shared" si="0"/>
        <v>486531.53883637075</v>
      </c>
      <c r="G30" s="3">
        <f t="shared" si="1"/>
        <v>2086435.4293454501</v>
      </c>
      <c r="H30" s="3">
        <f t="shared" si="2"/>
        <v>674840.62799923378</v>
      </c>
      <c r="I30" s="3">
        <f t="shared" si="3"/>
        <v>3247807.5961810546</v>
      </c>
      <c r="J30" s="3">
        <f t="shared" si="4"/>
        <v>1326184.3473155715</v>
      </c>
    </row>
    <row r="31" spans="1:10" x14ac:dyDescent="0.2">
      <c r="A31" s="2">
        <v>43252</v>
      </c>
      <c r="B31" s="3">
        <v>46.997501</v>
      </c>
      <c r="C31" s="3">
        <v>254</v>
      </c>
      <c r="D31" s="3">
        <v>193.070007</v>
      </c>
      <c r="E31" s="3">
        <v>140.929993</v>
      </c>
      <c r="F31" s="3">
        <f t="shared" si="0"/>
        <v>549624.80459994159</v>
      </c>
      <c r="G31" s="3">
        <f t="shared" si="1"/>
        <v>2359863.6618190259</v>
      </c>
      <c r="H31" s="3">
        <f t="shared" si="2"/>
        <v>757508.63239358412</v>
      </c>
      <c r="I31" s="3">
        <f t="shared" si="3"/>
        <v>3666997.0988125517</v>
      </c>
      <c r="J31" s="3">
        <f t="shared" si="4"/>
        <v>1373854.4575189229</v>
      </c>
    </row>
    <row r="32" spans="1:10" x14ac:dyDescent="0.2">
      <c r="A32" s="2">
        <v>43282</v>
      </c>
      <c r="B32" s="3">
        <v>45.955002</v>
      </c>
      <c r="C32" s="3">
        <v>234.08999600000001</v>
      </c>
      <c r="D32" s="3">
        <v>193.36999499999999</v>
      </c>
      <c r="E32" s="3">
        <v>139.55999800000001</v>
      </c>
      <c r="F32" s="3">
        <f t="shared" si="0"/>
        <v>537433.02212260023</v>
      </c>
      <c r="G32" s="3">
        <f t="shared" si="1"/>
        <v>2174883.7604557527</v>
      </c>
      <c r="H32" s="3">
        <f t="shared" si="2"/>
        <v>758685.63291865517</v>
      </c>
      <c r="I32" s="3">
        <f t="shared" si="3"/>
        <v>3471002.4154970078</v>
      </c>
      <c r="J32" s="3">
        <f t="shared" si="4"/>
        <v>1360499.0766133931</v>
      </c>
    </row>
    <row r="33" spans="1:10" x14ac:dyDescent="0.2">
      <c r="A33" s="2">
        <v>43313</v>
      </c>
      <c r="B33" s="3">
        <v>49.782501000000003</v>
      </c>
      <c r="C33" s="3">
        <v>246.13000500000001</v>
      </c>
      <c r="D33" s="3">
        <v>173.929993</v>
      </c>
      <c r="E33" s="3">
        <v>145.19000199999999</v>
      </c>
      <c r="F33" s="3">
        <f t="shared" si="0"/>
        <v>582194.7295585227</v>
      </c>
      <c r="G33" s="3">
        <f t="shared" si="1"/>
        <v>2286745.097963918</v>
      </c>
      <c r="H33" s="3">
        <f t="shared" si="2"/>
        <v>682412.94013966469</v>
      </c>
      <c r="I33" s="3">
        <f t="shared" si="3"/>
        <v>3551352.7676621056</v>
      </c>
      <c r="J33" s="3">
        <f t="shared" si="4"/>
        <v>1415383.1075183642</v>
      </c>
    </row>
    <row r="34" spans="1:10" x14ac:dyDescent="0.2">
      <c r="A34" s="2">
        <v>43344</v>
      </c>
      <c r="B34" s="3">
        <v>57.102500999999997</v>
      </c>
      <c r="C34" s="3">
        <v>280.14999399999999</v>
      </c>
      <c r="D34" s="3">
        <v>173.5</v>
      </c>
      <c r="E34" s="3">
        <v>149.88999899999999</v>
      </c>
      <c r="F34" s="3">
        <f t="shared" si="0"/>
        <v>667800.42101159727</v>
      </c>
      <c r="G34" s="3">
        <f t="shared" si="1"/>
        <v>2602818.0736197564</v>
      </c>
      <c r="H34" s="3">
        <f t="shared" si="2"/>
        <v>680725.86603411078</v>
      </c>
      <c r="I34" s="3">
        <f t="shared" si="3"/>
        <v>3951344.3606654648</v>
      </c>
      <c r="J34" s="3">
        <f t="shared" si="4"/>
        <v>1461200.9756053623</v>
      </c>
    </row>
    <row r="35" spans="1:10" x14ac:dyDescent="0.2">
      <c r="A35" s="2">
        <v>43374</v>
      </c>
      <c r="B35" s="3">
        <v>56.987499</v>
      </c>
      <c r="C35" s="3">
        <v>284.16000400000001</v>
      </c>
      <c r="D35" s="3">
        <v>163.029999</v>
      </c>
      <c r="E35" s="3">
        <v>150.41999799999999</v>
      </c>
      <c r="F35" s="3">
        <f t="shared" si="0"/>
        <v>666455.49946398987</v>
      </c>
      <c r="G35" s="3">
        <f t="shared" si="1"/>
        <v>2640074.2818186972</v>
      </c>
      <c r="H35" s="3">
        <f t="shared" si="2"/>
        <v>639646.90062717709</v>
      </c>
      <c r="I35" s="3">
        <f t="shared" si="3"/>
        <v>3946176.6819098643</v>
      </c>
      <c r="J35" s="3">
        <f t="shared" si="4"/>
        <v>1466367.6649177684</v>
      </c>
    </row>
    <row r="36" spans="1:10" x14ac:dyDescent="0.2">
      <c r="A36" s="2">
        <v>43405</v>
      </c>
      <c r="B36" s="3">
        <v>54.762501</v>
      </c>
      <c r="C36" s="3">
        <v>212.300003</v>
      </c>
      <c r="D36" s="3">
        <v>151.520004</v>
      </c>
      <c r="E36" s="3">
        <v>139.03999300000001</v>
      </c>
      <c r="F36" s="3">
        <f t="shared" si="0"/>
        <v>640434.66718643415</v>
      </c>
      <c r="G36" s="3">
        <f t="shared" si="1"/>
        <v>1972437.2538731112</v>
      </c>
      <c r="H36" s="3">
        <f t="shared" si="2"/>
        <v>594487.52705701406</v>
      </c>
      <c r="I36" s="3">
        <f t="shared" si="3"/>
        <v>3207359.4481165591</v>
      </c>
      <c r="J36" s="3">
        <f t="shared" si="4"/>
        <v>1355429.8136979959</v>
      </c>
    </row>
    <row r="37" spans="1:10" x14ac:dyDescent="0.2">
      <c r="A37" s="2">
        <v>43435</v>
      </c>
      <c r="B37" s="3">
        <v>46.115001999999997</v>
      </c>
      <c r="C37" s="3">
        <v>172.60000600000001</v>
      </c>
      <c r="D37" s="3">
        <v>143</v>
      </c>
      <c r="E37" s="3">
        <v>143.60000600000001</v>
      </c>
      <c r="F37" s="3">
        <f t="shared" si="0"/>
        <v>539304.18477731221</v>
      </c>
      <c r="G37" s="3">
        <f t="shared" si="1"/>
        <v>1603592.4495635666</v>
      </c>
      <c r="H37" s="3">
        <f t="shared" si="2"/>
        <v>561059.35932494432</v>
      </c>
      <c r="I37" s="3">
        <f t="shared" si="3"/>
        <v>2703955.9936658228</v>
      </c>
      <c r="J37" s="3">
        <f t="shared" si="4"/>
        <v>1399883.0493296348</v>
      </c>
    </row>
    <row r="38" spans="1:10" x14ac:dyDescent="0.2">
      <c r="A38" s="2">
        <v>43466</v>
      </c>
      <c r="B38" s="3">
        <v>38.722499999999997</v>
      </c>
      <c r="C38" s="3">
        <v>130.63999899999999</v>
      </c>
      <c r="D38" s="3">
        <v>128.990005</v>
      </c>
      <c r="E38" s="3">
        <v>125.75</v>
      </c>
      <c r="F38" s="3">
        <f t="shared" si="0"/>
        <v>452850.59935678786</v>
      </c>
      <c r="G38" s="3">
        <f t="shared" si="1"/>
        <v>1213750.340236905</v>
      </c>
      <c r="H38" s="3">
        <f t="shared" si="2"/>
        <v>506091.25569665292</v>
      </c>
      <c r="I38" s="3">
        <f t="shared" si="3"/>
        <v>2172692.1952903457</v>
      </c>
      <c r="J38" s="3">
        <f t="shared" si="4"/>
        <v>1225872.4658632784</v>
      </c>
    </row>
    <row r="39" spans="1:10" x14ac:dyDescent="0.2">
      <c r="A39" s="2">
        <v>43497</v>
      </c>
      <c r="B39" s="3">
        <v>41.740001999999997</v>
      </c>
      <c r="C39" s="3">
        <v>144.5</v>
      </c>
      <c r="D39" s="3">
        <v>165.83999600000001</v>
      </c>
      <c r="E39" s="3">
        <v>138.699997</v>
      </c>
      <c r="F39" s="3">
        <f t="shared" si="0"/>
        <v>488139.58093753044</v>
      </c>
      <c r="G39" s="3">
        <f t="shared" si="1"/>
        <v>1342520.8627277531</v>
      </c>
      <c r="H39" s="3">
        <f t="shared" si="2"/>
        <v>650671.90144203731</v>
      </c>
      <c r="I39" s="3">
        <f t="shared" si="3"/>
        <v>2481332.3451073207</v>
      </c>
      <c r="J39" s="3">
        <f t="shared" si="4"/>
        <v>1352115.3665019427</v>
      </c>
    </row>
    <row r="40" spans="1:10" x14ac:dyDescent="0.2">
      <c r="A40" s="2">
        <v>43525</v>
      </c>
      <c r="B40" s="3">
        <v>43.57</v>
      </c>
      <c r="C40" s="3">
        <v>156.270004</v>
      </c>
      <c r="D40" s="3">
        <v>162.60000600000001</v>
      </c>
      <c r="E40" s="3">
        <v>144.38000500000001</v>
      </c>
      <c r="F40" s="3">
        <f t="shared" si="0"/>
        <v>509540.98041126598</v>
      </c>
      <c r="G40" s="3">
        <f t="shared" si="1"/>
        <v>1451873.6372909995</v>
      </c>
      <c r="H40" s="3">
        <f t="shared" si="2"/>
        <v>637959.82652162318</v>
      </c>
      <c r="I40" s="3">
        <f t="shared" si="3"/>
        <v>2599374.4442238887</v>
      </c>
      <c r="J40" s="3">
        <f t="shared" si="4"/>
        <v>1407486.8608405762</v>
      </c>
    </row>
    <row r="41" spans="1:10" x14ac:dyDescent="0.2">
      <c r="A41" s="2">
        <v>43556</v>
      </c>
      <c r="B41" s="3">
        <v>47.91</v>
      </c>
      <c r="C41" s="3">
        <v>183.259995</v>
      </c>
      <c r="D41" s="3">
        <v>167.83000200000001</v>
      </c>
      <c r="E41" s="3">
        <v>145.759995</v>
      </c>
      <c r="F41" s="3">
        <f t="shared" si="0"/>
        <v>560296.26742032939</v>
      </c>
      <c r="G41" s="3">
        <f t="shared" si="1"/>
        <v>1702632.2947466001</v>
      </c>
      <c r="H41" s="3">
        <f t="shared" si="2"/>
        <v>658479.67410925962</v>
      </c>
      <c r="I41" s="3">
        <f t="shared" si="3"/>
        <v>2921408.2362761889</v>
      </c>
      <c r="J41" s="3">
        <f t="shared" si="4"/>
        <v>1420939.6778916034</v>
      </c>
    </row>
    <row r="42" spans="1:10" x14ac:dyDescent="0.2">
      <c r="A42" s="2">
        <v>43586</v>
      </c>
      <c r="B42" s="3">
        <v>52.470001000000003</v>
      </c>
      <c r="C42" s="3">
        <v>183.11000100000001</v>
      </c>
      <c r="D42" s="3">
        <v>194.779999</v>
      </c>
      <c r="E42" s="3">
        <v>150.800003</v>
      </c>
      <c r="F42" s="3">
        <f t="shared" si="0"/>
        <v>613624.41477438854</v>
      </c>
      <c r="G42" s="3">
        <f t="shared" si="1"/>
        <v>1701238.7302186834</v>
      </c>
      <c r="H42" s="3">
        <f t="shared" si="2"/>
        <v>764217.77236540767</v>
      </c>
      <c r="I42" s="3">
        <f t="shared" si="3"/>
        <v>3079080.9173584795</v>
      </c>
      <c r="J42" s="3">
        <f t="shared" si="4"/>
        <v>1470072.1394019863</v>
      </c>
    </row>
    <row r="43" spans="1:10" x14ac:dyDescent="0.2">
      <c r="A43" s="2">
        <v>43617</v>
      </c>
      <c r="B43" s="3">
        <v>43.900002000000001</v>
      </c>
      <c r="C43" s="3">
        <v>135.91000399999999</v>
      </c>
      <c r="D43" s="3">
        <v>175</v>
      </c>
      <c r="E43" s="3">
        <v>140.69000199999999</v>
      </c>
      <c r="F43" s="3">
        <f t="shared" si="0"/>
        <v>513400.27677614271</v>
      </c>
      <c r="G43" s="3">
        <f t="shared" si="1"/>
        <v>1262712.9122727497</v>
      </c>
      <c r="H43" s="3">
        <f t="shared" si="2"/>
        <v>686611.10406898789</v>
      </c>
      <c r="I43" s="3">
        <f t="shared" si="3"/>
        <v>2462724.2931178804</v>
      </c>
      <c r="J43" s="3">
        <f t="shared" si="4"/>
        <v>1371514.9079447279</v>
      </c>
    </row>
    <row r="44" spans="1:10" x14ac:dyDescent="0.2">
      <c r="A44" s="2">
        <v>43647</v>
      </c>
      <c r="B44" s="3">
        <v>50.792499999999997</v>
      </c>
      <c r="C44" s="3">
        <v>172.570007</v>
      </c>
      <c r="D44" s="3">
        <v>195.21000699999999</v>
      </c>
      <c r="E44" s="3">
        <v>151.85000600000001</v>
      </c>
      <c r="F44" s="3">
        <f t="shared" si="0"/>
        <v>594006.43212162564</v>
      </c>
      <c r="G44" s="3">
        <f t="shared" si="1"/>
        <v>1603313.7347998228</v>
      </c>
      <c r="H44" s="3">
        <f t="shared" si="2"/>
        <v>765904.90532334195</v>
      </c>
      <c r="I44" s="3">
        <f t="shared" si="3"/>
        <v>2963225.0722447904</v>
      </c>
      <c r="J44" s="3">
        <f t="shared" si="4"/>
        <v>1480308.081881301</v>
      </c>
    </row>
    <row r="45" spans="1:10" x14ac:dyDescent="0.2">
      <c r="A45" s="2">
        <v>43678</v>
      </c>
      <c r="B45" s="3">
        <v>53.474997999999999</v>
      </c>
      <c r="C45" s="3">
        <v>169.13999899999999</v>
      </c>
      <c r="D45" s="3">
        <v>194.16999799999999</v>
      </c>
      <c r="E45" s="3">
        <v>152.28999300000001</v>
      </c>
      <c r="F45" s="3">
        <f t="shared" si="0"/>
        <v>625377.62011499854</v>
      </c>
      <c r="G45" s="3">
        <f t="shared" si="1"/>
        <v>1571446.210237033</v>
      </c>
      <c r="H45" s="3">
        <f t="shared" si="2"/>
        <v>761824.43830773234</v>
      </c>
      <c r="I45" s="3">
        <f t="shared" si="3"/>
        <v>2958648.268659764</v>
      </c>
      <c r="J45" s="3">
        <f t="shared" si="4"/>
        <v>1484597.2902203691</v>
      </c>
    </row>
    <row r="46" spans="1:10" x14ac:dyDescent="0.2">
      <c r="A46" s="2">
        <v>43709</v>
      </c>
      <c r="B46" s="3">
        <v>51.607498</v>
      </c>
      <c r="C46" s="3">
        <v>164.58000200000001</v>
      </c>
      <c r="D46" s="3">
        <v>184</v>
      </c>
      <c r="E46" s="3">
        <v>147.990005</v>
      </c>
      <c r="F46" s="3">
        <f t="shared" si="0"/>
        <v>603537.64350453182</v>
      </c>
      <c r="G46" s="3">
        <f t="shared" si="1"/>
        <v>1529080.1818185144</v>
      </c>
      <c r="H46" s="3">
        <f t="shared" si="2"/>
        <v>721922.53227825009</v>
      </c>
      <c r="I46" s="3">
        <f t="shared" si="3"/>
        <v>2854540.3576012962</v>
      </c>
      <c r="J46" s="3">
        <f t="shared" si="4"/>
        <v>1442678.9053874265</v>
      </c>
    </row>
    <row r="47" spans="1:10" x14ac:dyDescent="0.2">
      <c r="A47" s="2">
        <v>43739</v>
      </c>
      <c r="B47" s="3">
        <v>56.267502</v>
      </c>
      <c r="C47" s="3">
        <v>175</v>
      </c>
      <c r="D47" s="3">
        <v>179.14999399999999</v>
      </c>
      <c r="E47" s="3">
        <v>151.5</v>
      </c>
      <c r="F47" s="3">
        <f t="shared" si="0"/>
        <v>658035.30260208563</v>
      </c>
      <c r="G47" s="3">
        <f t="shared" si="1"/>
        <v>1625890.3181824</v>
      </c>
      <c r="H47" s="3">
        <f t="shared" si="2"/>
        <v>702893.57242452877</v>
      </c>
      <c r="I47" s="3">
        <f t="shared" si="3"/>
        <v>2986819.1932090144</v>
      </c>
      <c r="J47" s="3">
        <f t="shared" si="4"/>
        <v>1476896.0523124188</v>
      </c>
    </row>
    <row r="48" spans="1:10" x14ac:dyDescent="0.2">
      <c r="A48" s="2">
        <v>43770</v>
      </c>
      <c r="B48" s="3">
        <v>62.384998000000003</v>
      </c>
      <c r="C48" s="3">
        <v>199.60000600000001</v>
      </c>
      <c r="D48" s="3">
        <v>192.85000600000001</v>
      </c>
      <c r="E48" s="3">
        <v>155</v>
      </c>
      <c r="F48" s="3">
        <f t="shared" si="0"/>
        <v>729577.99044927408</v>
      </c>
      <c r="G48" s="3">
        <f t="shared" si="1"/>
        <v>1854444.0986545654</v>
      </c>
      <c r="H48" s="3">
        <f t="shared" si="2"/>
        <v>756645.46022497676</v>
      </c>
      <c r="I48" s="3">
        <f t="shared" si="3"/>
        <v>3340667.5493288161</v>
      </c>
      <c r="J48" s="3">
        <f t="shared" si="4"/>
        <v>1511015.7630919137</v>
      </c>
    </row>
    <row r="49" spans="1:10" x14ac:dyDescent="0.2">
      <c r="A49" s="2">
        <v>43800</v>
      </c>
      <c r="B49" s="3">
        <v>66.817497000000003</v>
      </c>
      <c r="C49" s="3">
        <v>216.46000699999999</v>
      </c>
      <c r="D49" s="3">
        <v>202.13000500000001</v>
      </c>
      <c r="E49" s="3">
        <v>160.259995</v>
      </c>
      <c r="F49" s="3">
        <f t="shared" si="0"/>
        <v>781415.03167332627</v>
      </c>
      <c r="G49" s="3">
        <f t="shared" si="1"/>
        <v>2011087.0265999686</v>
      </c>
      <c r="H49" s="3">
        <f t="shared" si="2"/>
        <v>793055.46227725735</v>
      </c>
      <c r="I49" s="3">
        <f t="shared" si="3"/>
        <v>3585557.5205505523</v>
      </c>
      <c r="J49" s="3">
        <f t="shared" si="4"/>
        <v>1562292.7654066533</v>
      </c>
    </row>
    <row r="50" spans="1:10" x14ac:dyDescent="0.2">
      <c r="A50" s="2">
        <v>43831</v>
      </c>
      <c r="B50" s="3">
        <v>74.059997999999993</v>
      </c>
      <c r="C50" s="3">
        <v>238.75</v>
      </c>
      <c r="D50" s="3">
        <v>206.75</v>
      </c>
      <c r="E50" s="3">
        <v>164.679993</v>
      </c>
      <c r="F50" s="3">
        <f t="shared" si="0"/>
        <v>866114.39041029138</v>
      </c>
      <c r="G50" s="3">
        <f t="shared" si="1"/>
        <v>2218178.9340917026</v>
      </c>
      <c r="H50" s="3">
        <f t="shared" si="2"/>
        <v>811181.97580721846</v>
      </c>
      <c r="I50" s="3">
        <f t="shared" si="3"/>
        <v>3895475.3003092124</v>
      </c>
      <c r="J50" s="3">
        <f t="shared" si="4"/>
        <v>1605381.0663797806</v>
      </c>
    </row>
    <row r="51" spans="1:10" x14ac:dyDescent="0.2">
      <c r="A51" s="2">
        <v>43862</v>
      </c>
      <c r="B51" s="3">
        <v>76.074996999999996</v>
      </c>
      <c r="C51" s="3">
        <v>235.699997</v>
      </c>
      <c r="D51" s="3">
        <v>203.44000199999999</v>
      </c>
      <c r="E51" s="3">
        <v>164.35000600000001</v>
      </c>
      <c r="F51" s="3">
        <f t="shared" si="0"/>
        <v>889679.3333983043</v>
      </c>
      <c r="G51" s="3">
        <f t="shared" si="1"/>
        <v>2189841.9606738323</v>
      </c>
      <c r="H51" s="3">
        <f t="shared" si="2"/>
        <v>798195.22505724046</v>
      </c>
      <c r="I51" s="3">
        <f t="shared" si="3"/>
        <v>3877716.5191293773</v>
      </c>
      <c r="J51" s="3">
        <f t="shared" si="4"/>
        <v>1602164.1918080684</v>
      </c>
    </row>
    <row r="52" spans="1:10" x14ac:dyDescent="0.2">
      <c r="A52" s="2">
        <v>43891</v>
      </c>
      <c r="B52" s="3">
        <v>70.569999999999993</v>
      </c>
      <c r="C52" s="3">
        <v>276.89999399999999</v>
      </c>
      <c r="D52" s="3">
        <v>194.029999</v>
      </c>
      <c r="E52" s="3">
        <v>151.41000399999999</v>
      </c>
      <c r="F52" s="3">
        <f t="shared" si="0"/>
        <v>825299.67839391867</v>
      </c>
      <c r="G52" s="3">
        <f t="shared" si="1"/>
        <v>2572622.9677106547</v>
      </c>
      <c r="H52" s="3">
        <f t="shared" si="2"/>
        <v>761275.15334796917</v>
      </c>
      <c r="I52" s="3">
        <f t="shared" si="3"/>
        <v>4159197.7994525423</v>
      </c>
      <c r="J52" s="3">
        <f t="shared" si="4"/>
        <v>1476018.7273149011</v>
      </c>
    </row>
    <row r="53" spans="1:10" x14ac:dyDescent="0.2">
      <c r="A53" s="2">
        <v>43922</v>
      </c>
      <c r="B53" s="3">
        <v>61.625</v>
      </c>
      <c r="C53" s="3">
        <v>255.64999399999999</v>
      </c>
      <c r="D53" s="3">
        <v>161.61999499999999</v>
      </c>
      <c r="E53" s="3">
        <v>124.129997</v>
      </c>
      <c r="F53" s="3">
        <f t="shared" si="0"/>
        <v>720689.99122892506</v>
      </c>
      <c r="G53" s="3">
        <f t="shared" si="1"/>
        <v>2375193.4290742208</v>
      </c>
      <c r="H53" s="3">
        <f t="shared" si="2"/>
        <v>634114.76118042448</v>
      </c>
      <c r="I53" s="3">
        <f t="shared" si="3"/>
        <v>3729998.1814835705</v>
      </c>
      <c r="J53" s="3">
        <f t="shared" si="4"/>
        <v>1210079.8847713028</v>
      </c>
    </row>
    <row r="54" spans="1:10" x14ac:dyDescent="0.2">
      <c r="A54" s="2">
        <v>43952</v>
      </c>
      <c r="B54" s="3">
        <v>71.5625</v>
      </c>
      <c r="C54" s="3">
        <v>284.35000600000001</v>
      </c>
      <c r="D54" s="3">
        <v>201.60000600000001</v>
      </c>
      <c r="E54" s="3">
        <v>143.11999499999999</v>
      </c>
      <c r="F54" s="3">
        <f t="shared" si="0"/>
        <v>836906.73423642921</v>
      </c>
      <c r="G54" s="3">
        <f t="shared" si="1"/>
        <v>2641839.5527457562</v>
      </c>
      <c r="H54" s="3">
        <f t="shared" si="2"/>
        <v>790976.01542842621</v>
      </c>
      <c r="I54" s="3">
        <f t="shared" si="3"/>
        <v>4269722.3024106119</v>
      </c>
      <c r="J54" s="3">
        <f t="shared" si="4"/>
        <v>1395203.6674750699</v>
      </c>
    </row>
    <row r="55" spans="1:10" x14ac:dyDescent="0.2">
      <c r="A55" s="2">
        <v>43983</v>
      </c>
      <c r="B55" s="3">
        <v>79.4375</v>
      </c>
      <c r="C55" s="3">
        <v>353.32998700000002</v>
      </c>
      <c r="D55" s="3">
        <v>224.58999600000001</v>
      </c>
      <c r="E55" s="3">
        <v>153.61999499999999</v>
      </c>
      <c r="F55" s="3">
        <f t="shared" si="0"/>
        <v>929003.02114803635</v>
      </c>
      <c r="G55" s="3">
        <f t="shared" si="1"/>
        <v>3282718.8856389327</v>
      </c>
      <c r="H55" s="3">
        <f t="shared" si="2"/>
        <v>881177.05780805473</v>
      </c>
      <c r="I55" s="3">
        <f t="shared" si="3"/>
        <v>5092898.9645950235</v>
      </c>
      <c r="J55" s="3">
        <f t="shared" si="4"/>
        <v>1497562.7998135544</v>
      </c>
    </row>
    <row r="56" spans="1:10" x14ac:dyDescent="0.2">
      <c r="A56" s="2">
        <v>44013</v>
      </c>
      <c r="B56" s="3">
        <v>91.279999000000004</v>
      </c>
      <c r="C56" s="3">
        <v>380.82998700000002</v>
      </c>
      <c r="D56" s="3">
        <v>228.5</v>
      </c>
      <c r="E56" s="3">
        <v>156.89999399999999</v>
      </c>
      <c r="F56" s="3">
        <f t="shared" si="0"/>
        <v>1067498.282818439</v>
      </c>
      <c r="G56" s="3">
        <f t="shared" si="1"/>
        <v>3538215.9356390242</v>
      </c>
      <c r="H56" s="3">
        <f t="shared" si="2"/>
        <v>896517.92731293559</v>
      </c>
      <c r="I56" s="3">
        <f t="shared" si="3"/>
        <v>5502232.1457703989</v>
      </c>
      <c r="J56" s="3">
        <f t="shared" si="4"/>
        <v>1529537.8333098495</v>
      </c>
    </row>
    <row r="57" spans="1:10" x14ac:dyDescent="0.2">
      <c r="A57" s="2">
        <v>44044</v>
      </c>
      <c r="B57" s="3">
        <v>108.199997</v>
      </c>
      <c r="C57" s="3">
        <v>429.29998799999998</v>
      </c>
      <c r="D57" s="3">
        <v>252.64999399999999</v>
      </c>
      <c r="E57" s="3">
        <v>166.470001</v>
      </c>
      <c r="F57" s="3">
        <f t="shared" si="0"/>
        <v>1265373.7101647013</v>
      </c>
      <c r="G57" s="3">
        <f t="shared" si="1"/>
        <v>3988541.1090572597</v>
      </c>
      <c r="H57" s="3">
        <f t="shared" si="2"/>
        <v>991270.23613350373</v>
      </c>
      <c r="I57" s="3">
        <f t="shared" si="3"/>
        <v>6245185.055355465</v>
      </c>
      <c r="J57" s="3">
        <f t="shared" si="4"/>
        <v>1622830.939309204</v>
      </c>
    </row>
    <row r="58" spans="1:10" x14ac:dyDescent="0.2">
      <c r="A58" s="2">
        <v>44075</v>
      </c>
      <c r="B58" s="3">
        <v>132.759995</v>
      </c>
      <c r="C58" s="3">
        <v>539.20001200000002</v>
      </c>
      <c r="D58" s="3">
        <v>294.709991</v>
      </c>
      <c r="E58" s="3">
        <v>177.69000199999999</v>
      </c>
      <c r="F58" s="3">
        <f t="shared" si="0"/>
        <v>1552597.1542734627</v>
      </c>
      <c r="G58" s="3">
        <f t="shared" si="1"/>
        <v>5009600.4518550504</v>
      </c>
      <c r="H58" s="3">
        <f t="shared" si="2"/>
        <v>1156292.2988609797</v>
      </c>
      <c r="I58" s="3">
        <f t="shared" si="3"/>
        <v>7718489.9049894921</v>
      </c>
      <c r="J58" s="3">
        <f t="shared" si="4"/>
        <v>1732208.993327959</v>
      </c>
    </row>
    <row r="59" spans="1:10" x14ac:dyDescent="0.2">
      <c r="A59" s="2">
        <v>44105</v>
      </c>
      <c r="B59" s="3">
        <v>117.639999</v>
      </c>
      <c r="C59" s="3">
        <v>550.32000700000003</v>
      </c>
      <c r="D59" s="3">
        <v>265.35000600000001</v>
      </c>
      <c r="E59" s="3">
        <v>171.720001</v>
      </c>
      <c r="F59" s="3">
        <f t="shared" si="0"/>
        <v>1375772.3301822436</v>
      </c>
      <c r="G59" s="3">
        <f t="shared" si="1"/>
        <v>5112914.1216192609</v>
      </c>
      <c r="H59" s="3">
        <f t="shared" si="2"/>
        <v>1041098.6319107004</v>
      </c>
      <c r="I59" s="3">
        <f t="shared" si="3"/>
        <v>7529785.0837122053</v>
      </c>
      <c r="J59" s="3">
        <f t="shared" si="4"/>
        <v>1674010.5054784461</v>
      </c>
    </row>
    <row r="60" spans="1:10" x14ac:dyDescent="0.2">
      <c r="A60" s="2">
        <v>44136</v>
      </c>
      <c r="B60" s="3">
        <v>109.110001</v>
      </c>
      <c r="C60" s="3">
        <v>506.30999800000001</v>
      </c>
      <c r="D60" s="3">
        <v>264.60000600000001</v>
      </c>
      <c r="E60" s="3">
        <v>168.78999300000001</v>
      </c>
      <c r="F60" s="3">
        <f t="shared" si="0"/>
        <v>1276015.9945424423</v>
      </c>
      <c r="G60" s="3">
        <f t="shared" si="1"/>
        <v>4704025.8499837155</v>
      </c>
      <c r="H60" s="3">
        <f t="shared" si="2"/>
        <v>1038156.0128932617</v>
      </c>
      <c r="I60" s="3">
        <f t="shared" si="3"/>
        <v>7018197.8574194191</v>
      </c>
      <c r="J60" s="3">
        <f t="shared" si="4"/>
        <v>1645447.3553237016</v>
      </c>
    </row>
    <row r="61" spans="1:10" x14ac:dyDescent="0.2">
      <c r="A61" s="2">
        <v>44166</v>
      </c>
      <c r="B61" s="3">
        <v>121.010002</v>
      </c>
      <c r="C61" s="3">
        <v>539.69000200000005</v>
      </c>
      <c r="D61" s="3">
        <v>279.16000400000001</v>
      </c>
      <c r="E61" s="3">
        <v>189.16999799999999</v>
      </c>
      <c r="F61" s="3">
        <f t="shared" si="0"/>
        <v>1415183.7286814151</v>
      </c>
      <c r="G61" s="3">
        <f t="shared" si="1"/>
        <v>5014152.8518379433</v>
      </c>
      <c r="H61" s="3">
        <f t="shared" si="2"/>
        <v>1095282.0489048176</v>
      </c>
      <c r="I61" s="3">
        <f t="shared" si="3"/>
        <v>7524618.6294241762</v>
      </c>
      <c r="J61" s="3">
        <f t="shared" si="4"/>
        <v>1844121.6056907468</v>
      </c>
    </row>
    <row r="62" spans="1:10" x14ac:dyDescent="0.2">
      <c r="A62" s="2">
        <v>44197</v>
      </c>
      <c r="B62" s="3">
        <v>133.520004</v>
      </c>
      <c r="C62" s="3">
        <v>524.169983</v>
      </c>
      <c r="D62" s="3">
        <v>274.77999899999998</v>
      </c>
      <c r="E62" s="3">
        <v>195.38999899999999</v>
      </c>
      <c r="F62" s="3">
        <f t="shared" si="0"/>
        <v>1561485.2821362442</v>
      </c>
      <c r="G62" s="3">
        <f t="shared" si="1"/>
        <v>4869959.4310944751</v>
      </c>
      <c r="H62" s="3">
        <f t="shared" si="2"/>
        <v>1078097.1342255163</v>
      </c>
      <c r="I62" s="3">
        <f t="shared" si="3"/>
        <v>7509541.8474562364</v>
      </c>
      <c r="J62" s="3">
        <f t="shared" si="4"/>
        <v>1904757.215738795</v>
      </c>
    </row>
    <row r="63" spans="1:10" x14ac:dyDescent="0.2">
      <c r="A63" s="2">
        <v>44228</v>
      </c>
      <c r="B63" s="3">
        <v>133.75</v>
      </c>
      <c r="C63" s="3">
        <v>522.13000499999998</v>
      </c>
      <c r="D63" s="3">
        <v>259.51998900000001</v>
      </c>
      <c r="E63" s="3">
        <v>195.88000500000001</v>
      </c>
      <c r="F63" s="3">
        <f t="shared" si="0"/>
        <v>1564175.0316733264</v>
      </c>
      <c r="G63" s="3">
        <f t="shared" si="1"/>
        <v>4851006.3997830171</v>
      </c>
      <c r="H63" s="3">
        <f t="shared" si="2"/>
        <v>1018224.6067157805</v>
      </c>
      <c r="I63" s="3">
        <f t="shared" si="3"/>
        <v>7433406.038172124</v>
      </c>
      <c r="J63" s="3">
        <f t="shared" si="4"/>
        <v>1909534.0337388571</v>
      </c>
    </row>
    <row r="64" spans="1:10" x14ac:dyDescent="0.2">
      <c r="A64" s="2">
        <v>44256</v>
      </c>
      <c r="B64" s="3">
        <v>123.75</v>
      </c>
      <c r="C64" s="3">
        <v>555</v>
      </c>
      <c r="D64" s="3">
        <v>260.82000699999998</v>
      </c>
      <c r="E64" s="3">
        <v>203.14999399999999</v>
      </c>
      <c r="F64" s="3">
        <f t="shared" si="0"/>
        <v>1447227.3657538253</v>
      </c>
      <c r="G64" s="3">
        <f t="shared" si="1"/>
        <v>5156395.0090927538</v>
      </c>
      <c r="H64" s="3">
        <f t="shared" si="2"/>
        <v>1023325.2169688635</v>
      </c>
      <c r="I64" s="3">
        <f t="shared" si="3"/>
        <v>7626947.5918154428</v>
      </c>
      <c r="J64" s="3">
        <f t="shared" si="4"/>
        <v>1980405.440038888</v>
      </c>
    </row>
  </sheetData>
  <mergeCells count="1">
    <mergeCell ref="L2:M2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Assignment 2 - Analysis with 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2021-03-30T21:25:19Z</dcterms:created>
  <dcterms:modified xsi:type="dcterms:W3CDTF">2021-04-04T06:38:35Z</dcterms:modified>
</cp:coreProperties>
</file>